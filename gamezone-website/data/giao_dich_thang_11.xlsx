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<sst xmlns="http://schemas.openxmlformats.org/spreadsheetml/2006/main" count="51" uniqueCount="33">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</sst>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"/>
  <sheetViews>
    <sheetView tabSelected="1" workbookViewId="0">
      <selection activeCell="A1" sqref="A1:F16"/>
    </sheetView>
  </sheetViews>
  <sheetFormatPr defaultColWidth="9" defaultRowHeight="15" outlineLevelCol="5"/>
  <cols>
    <col min="4" max="4" width="14.4285714285714" customWidth="1"/>
    <col min="5" max="5" width="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>
        <v>1</v>
      </c>
      <c r="D2" t="str">
        <f>VLOOKUP(GiaoDich!B2,VatPham!$A$1:$C$7,2,FALSE)</f>
        <v>Ao Giap Vang</v>
      </c>
      <c r="E2">
        <f>VLOOKUP(GiaoDich!B2,VatPham!$A$1:$C$7,3,FALSE)</f>
        <v>250000</v>
      </c>
      <c r="F2">
        <f>C2*E2</f>
        <v>250000</v>
      </c>
    </row>
    <row r="3" hidden="1" spans="1:6">
      <c r="A3" t="s">
        <v>8</v>
      </c>
      <c r="B3" t="s">
        <v>9</v>
      </c>
      <c r="C3">
        <v>1</v>
      </c>
      <c r="D3" t="str">
        <f>VLOOKUP(GiaoDich!B3,VatPham!$A$1:$C$7,2,FALSE)</f>
        <v>Nhan Ma Thuat</v>
      </c>
      <c r="E3">
        <f>VLOOKUP(GiaoDich!B3,VatPham!$A$1:$C$7,3,FALSE)</f>
        <v>99000</v>
      </c>
      <c r="F3">
        <f t="shared" ref="F3:F16" si="0">C3*E3</f>
        <v>99000</v>
      </c>
    </row>
    <row r="4" spans="1:6">
      <c r="A4" t="s">
        <v>10</v>
      </c>
      <c r="B4" t="s">
        <v>11</v>
      </c>
      <c r="C4">
        <v>5</v>
      </c>
      <c r="D4" t="str">
        <f>VLOOKUP(GiaoDich!B4,VatPham!$A$1:$C$7,2,FALSE)</f>
        <v>Giay Toc Do</v>
      </c>
      <c r="E4">
        <f>VLOOKUP(GiaoDich!B4,VatPham!$A$1:$C$7,3,FALSE)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VLOOKUP(GiaoDich!B5,VatPham!$A$1:$C$7,2,FALSE)</f>
        <v>Nhan Ma Thuat</v>
      </c>
      <c r="E5">
        <f>VLOOKUP(GiaoDich!B5,VatPham!$A$1:$C$7,3,FALSE)</f>
        <v>99000</v>
      </c>
      <c r="F5">
        <f t="shared" si="0"/>
        <v>495000</v>
      </c>
    </row>
    <row r="6" hidden="1" spans="1:6">
      <c r="A6" t="s">
        <v>13</v>
      </c>
      <c r="B6" t="s">
        <v>14</v>
      </c>
      <c r="C6">
        <v>3</v>
      </c>
      <c r="D6" t="str">
        <f>VLOOKUP(GiaoDich!B6,VatPham!$A$1:$C$7,2,FALSE)</f>
        <v>Binh May</v>
      </c>
      <c r="E6">
        <f>VLOOKUP(GiaoDich!B6,VatPham!$A$1:$C$7,3,FALSE)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VLOOKUP(GiaoDich!B7,VatPham!$A$1:$C$7,2,FALSE)</f>
        <v>Nhan Ma Thuat</v>
      </c>
      <c r="E7">
        <f>VLOOKUP(GiaoDich!B7,VatPham!$A$1:$C$7,3,FALSE)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VLOOKUP(GiaoDich!B8,VatPham!$A$1:$C$7,2,FALSE)</f>
        <v>Giay Toc Do</v>
      </c>
      <c r="E8">
        <f>VLOOKUP(GiaoDich!B8,VatPham!$A$1:$C$7,3,FALSE)</f>
        <v>150000</v>
      </c>
      <c r="F8">
        <f t="shared" si="0"/>
        <v>900000</v>
      </c>
    </row>
    <row r="9" hidden="1" spans="1:6">
      <c r="A9" t="s">
        <v>17</v>
      </c>
      <c r="B9" t="s">
        <v>18</v>
      </c>
      <c r="C9">
        <v>1</v>
      </c>
      <c r="D9" t="str">
        <f>VLOOKUP(GiaoDich!B9,VatPham!$A$1:$C$7,2,FALSE)</f>
        <v>Khien Bang</v>
      </c>
      <c r="E9">
        <f>VLOOKUP(GiaoDich!B9,VatPham!$A$1:$C$7,3,FALSE)</f>
        <v>85000</v>
      </c>
      <c r="F9">
        <f t="shared" si="0"/>
        <v>85000</v>
      </c>
    </row>
    <row r="10" hidden="1" spans="1:6">
      <c r="A10" t="s">
        <v>19</v>
      </c>
      <c r="B10" t="s">
        <v>14</v>
      </c>
      <c r="C10">
        <v>2</v>
      </c>
      <c r="D10" t="str">
        <f>VLOOKUP(GiaoDich!B10,VatPham!$A$1:$C$7,2,FALSE)</f>
        <v>Binh May</v>
      </c>
      <c r="E10">
        <f>VLOOKUP(GiaoDich!B10,VatPham!$A$1:$C$7,3,FALSE)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VLOOKUP(GiaoDich!B11,VatPham!$A$1:$C$7,2,FALSE)</f>
        <v>Ao Giap Vang</v>
      </c>
      <c r="E11">
        <f>VLOOKUP(GiaoDich!B11,VatPham!$A$1:$C$7,3,FALSE)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VLOOKUP(GiaoDich!B12,VatPham!$A$1:$C$7,2,FALSE)</f>
        <v>Giay Toc Do</v>
      </c>
      <c r="E12">
        <f>VLOOKUP(GiaoDich!B12,VatPham!$A$1:$C$7,3,FALSE)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VLOOKUP(GiaoDich!B13,VatPham!$A$1:$C$7,2,FALSE)</f>
        <v>Ao Giap Vang</v>
      </c>
      <c r="E13">
        <f>VLOOKUP(GiaoDich!B13,VatPham!$A$1:$C$7,3,FALSE)</f>
        <v>250000</v>
      </c>
      <c r="F13">
        <f t="shared" si="0"/>
        <v>500000</v>
      </c>
    </row>
    <row r="14" hidden="1" spans="1:6">
      <c r="A14" t="s">
        <v>23</v>
      </c>
      <c r="B14" t="s">
        <v>24</v>
      </c>
      <c r="C14">
        <v>1</v>
      </c>
      <c r="D14" t="str">
        <f>VLOOKUP(GiaoDich!B14,VatPham!$A$1:$C$7,2,FALSE)</f>
        <v>Kiem Rong</v>
      </c>
      <c r="E14">
        <f>VLOOKUP(GiaoDich!B14,VatPham!$A$1:$C$7,3,FALSE)</f>
        <v>120000</v>
      </c>
      <c r="F14">
        <f t="shared" si="0"/>
        <v>120000</v>
      </c>
    </row>
    <row r="15" hidden="1" spans="1:6">
      <c r="A15" t="s">
        <v>25</v>
      </c>
      <c r="B15" t="s">
        <v>24</v>
      </c>
      <c r="C15">
        <v>2</v>
      </c>
      <c r="D15" t="str">
        <f>VLOOKUP(GiaoDich!B15,VatPham!$A$1:$C$7,2,FALSE)</f>
        <v>Kiem Rong</v>
      </c>
      <c r="E15">
        <f>VLOOKUP(GiaoDich!B15,VatPham!$A$1:$C$7,3,FALSE)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VLOOKUP(GiaoDich!B16,VatPham!$A$1:$C$7,2,FALSE)</f>
        <v>Ao Giap Vang</v>
      </c>
      <c r="E16">
        <f>VLOOKUP(GiaoDich!B16,VatPham!$A$1:$C$7,3,FALSE)</f>
        <v>250000</v>
      </c>
      <c r="F16">
        <f t="shared" si="0"/>
        <v>1250000</v>
      </c>
    </row>
  </sheetData>
  <autoFilter xmlns:etc="http://www.wps.cn/officeDocument/2017/etCustomData" ref="A1:F16" etc:filterBottomFollowUsedRange="0">
    <filterColumn colId="5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Chung</cp:lastModifiedBy>
  <dcterms:created xsi:type="dcterms:W3CDTF">2026-10-26T03:25:00Z</dcterms:created>
  <dcterms:modified xsi:type="dcterms:W3CDTF">2026-10-26T07:23:55Z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9317DAF55BE34BFAB2B5CBD7306E858D_12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